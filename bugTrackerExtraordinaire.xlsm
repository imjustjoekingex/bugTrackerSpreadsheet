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showInkAnnotation="0" codeName="ThisWorkbook" autoCompressPictures="0"/>
  <bookViews>
    <workbookView xWindow="0" yWindow="0" windowWidth="51200" windowHeight="28800" tabRatio="500"/>
  </bookViews>
  <sheets>
    <sheet name="Sheet1" sheetId="1" r:id="rId1"/>
    <sheet name="Sheet2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52" i="1" l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D2" i="1"/>
  <c r="D3" i="1"/>
  <c r="D4" i="1"/>
  <c r="D5" i="1"/>
  <c r="D6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A142" i="1"/>
  <c r="A143" i="1"/>
  <c r="A144" i="1"/>
  <c r="A145" i="1"/>
  <c r="A146" i="1"/>
  <c r="A147" i="1"/>
  <c r="A148" i="1"/>
  <c r="A149" i="1"/>
  <c r="A150" i="1"/>
  <c r="A151" i="1"/>
  <c r="A152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4" i="1"/>
  <c r="A5" i="1"/>
  <c r="A6" i="1"/>
  <c r="A7" i="1"/>
  <c r="A8" i="1"/>
  <c r="A9" i="1"/>
  <c r="A10" i="1"/>
  <c r="A11" i="1"/>
  <c r="A12" i="1"/>
  <c r="A13" i="1"/>
  <c r="A14" i="1"/>
  <c r="A3" i="1"/>
  <c r="A2" i="1"/>
</calcChain>
</file>

<file path=xl/sharedStrings.xml><?xml version="1.0" encoding="utf-8"?>
<sst xmlns="http://schemas.openxmlformats.org/spreadsheetml/2006/main" count="49" uniqueCount="43">
  <si>
    <t>Page</t>
  </si>
  <si>
    <t>Requested By</t>
  </si>
  <si>
    <t>Priority Level:</t>
  </si>
  <si>
    <t>Completed</t>
  </si>
  <si>
    <t>Date Completed</t>
  </si>
  <si>
    <t>Proposed Change/Addition</t>
  </si>
  <si>
    <t>Inspiration</t>
  </si>
  <si>
    <t>Mood</t>
  </si>
  <si>
    <t>Icons</t>
  </si>
  <si>
    <t>Typography</t>
  </si>
  <si>
    <t>Principles</t>
  </si>
  <si>
    <t>Color</t>
  </si>
  <si>
    <t>Shape</t>
  </si>
  <si>
    <t>Cards</t>
  </si>
  <si>
    <t>Type</t>
  </si>
  <si>
    <t>Buttons</t>
  </si>
  <si>
    <t>SmartTop</t>
  </si>
  <si>
    <t>Sidebar</t>
  </si>
  <si>
    <t>Notifications</t>
  </si>
  <si>
    <t>Share Tools</t>
  </si>
  <si>
    <t>Timestamps</t>
  </si>
  <si>
    <t>Grid &amp; Structure</t>
  </si>
  <si>
    <t>Motion Principles</t>
  </si>
  <si>
    <t>Examples</t>
  </si>
  <si>
    <t>Accessibilites</t>
  </si>
  <si>
    <t>Get In Touch</t>
  </si>
  <si>
    <t>Other</t>
  </si>
  <si>
    <t>Ryan M.</t>
  </si>
  <si>
    <t>Guy S.</t>
  </si>
  <si>
    <t>Henry M.</t>
  </si>
  <si>
    <t>Change No.</t>
  </si>
  <si>
    <t>Email</t>
  </si>
  <si>
    <t>rmcculla@yahoo-inc.com</t>
  </si>
  <si>
    <t>gschack@yahoo-inc.com</t>
  </si>
  <si>
    <t>hmoran@yahoo-inc.com</t>
  </si>
  <si>
    <t>Jenny V.</t>
  </si>
  <si>
    <t>jennyvallon@yahoo-inc.com</t>
  </si>
  <si>
    <t>Date Requested</t>
  </si>
  <si>
    <t>Priority Level</t>
  </si>
  <si>
    <t>High</t>
  </si>
  <si>
    <t>Normal</t>
  </si>
  <si>
    <t>Suggestion</t>
  </si>
  <si>
    <t>booties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</si>
</sst>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[$-409]m/d/yy\ h:mm\ AM/PM;@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2" fillId="0" borderId="0" xfId="1"/>
    <xf numFmtId="0" fontId="1" fillId="0" borderId="0" xfId="0" applyFont="1" applyProtection="1"/>
    <xf numFmtId="0" fontId="0" fillId="0" borderId="0" xfId="0" applyProtection="1"/>
    <xf numFmtId="1" fontId="0" fillId="0" borderId="0" xfId="0" applyNumberFormat="1" applyProtection="1">
      <protection locked="0"/>
    </xf>
    <xf numFmtId="1" fontId="0" fillId="0" borderId="0" xfId="0" applyNumberFormat="1" applyProtection="1"/>
    <xf numFmtId="169" fontId="1" fillId="0" borderId="0" xfId="0" applyNumberFormat="1" applyFont="1" applyProtection="1"/>
    <xf numFmtId="169" fontId="0" fillId="0" borderId="0" xfId="0" applyNumberFormat="1" applyProtection="1"/>
  </cellXfs>
  <cellStyles count="11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Hyperlink" xfId="1" builtinId="8"/>
    <cellStyle name="Normal" xfId="0" builtinId="0"/>
  </cellStyles>
  <dxfs count="5">
    <dxf>
      <font>
        <strike/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1" name="RequestEmail" displayName="RequestEmail" ref="C1:D5" totalsRowShown="0" headerRowDxfId="4">
  <autoFilter ref="C1:D5"/>
  <tableColumns count="2">
    <tableColumn id="1" name="Requested By"/>
    <tableColumn id="2" name="Emai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F1:F4" totalsRowShown="0" headerRowDxfId="3">
  <autoFilter ref="F1:F4"/>
  <tableColumns count="1">
    <tableColumn id="1" name="Priority Leve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jennyvallon@yahoo-inc.com" TargetMode="External"/><Relationship Id="rId2" Type="http://schemas.openxmlformats.org/officeDocument/2006/relationships/table" Target="../tables/table1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152"/>
  <sheetViews>
    <sheetView tabSelected="1" showRuler="0" topLeftCell="C1" zoomScale="115" zoomScaleNormal="115" zoomScalePageLayoutView="115" workbookViewId="0">
      <selection activeCell="G2" sqref="G2"/>
    </sheetView>
  </sheetViews>
  <sheetFormatPr baseColWidth="10" defaultRowHeight="15" x14ac:dyDescent="0"/>
  <cols>
    <col min="1" max="1" width="10.83203125" style="7"/>
    <col min="2" max="2" width="20.33203125" style="3" customWidth="1"/>
    <col min="3" max="3" width="16" style="3" customWidth="1"/>
    <col min="4" max="4" width="21.5" style="6" bestFit="1" customWidth="1"/>
    <col min="5" max="5" width="12.33203125" style="3" bestFit="1" customWidth="1"/>
    <col min="6" max="6" width="19.33203125" style="10" customWidth="1"/>
    <col min="7" max="7" width="10.83203125" style="6"/>
    <col min="8" max="8" width="15.1640625" style="10" bestFit="1" customWidth="1"/>
    <col min="9" max="9" width="171.6640625" style="3" customWidth="1"/>
    <col min="10" max="10" width="6" style="3" hidden="1" customWidth="1"/>
    <col min="11" max="16384" width="10.83203125" style="3"/>
  </cols>
  <sheetData>
    <row r="1" spans="1:10" s="2" customFormat="1">
      <c r="A1" s="2" t="s">
        <v>30</v>
      </c>
      <c r="B1" s="2" t="s">
        <v>0</v>
      </c>
      <c r="C1" s="2" t="s">
        <v>1</v>
      </c>
      <c r="D1" s="5" t="s">
        <v>31</v>
      </c>
      <c r="E1" s="2" t="s">
        <v>2</v>
      </c>
      <c r="F1" s="9" t="s">
        <v>37</v>
      </c>
      <c r="G1" s="5" t="s">
        <v>3</v>
      </c>
      <c r="H1" s="9" t="s">
        <v>4</v>
      </c>
      <c r="I1" s="2" t="s">
        <v>5</v>
      </c>
    </row>
    <row r="2" spans="1:10">
      <c r="A2" s="8">
        <f>ROW(A1)</f>
        <v>1</v>
      </c>
      <c r="B2" s="3" t="s">
        <v>7</v>
      </c>
      <c r="C2" s="3" t="s">
        <v>28</v>
      </c>
      <c r="D2" s="6" t="str">
        <f>IF(NOT(ISNA(VLOOKUP(C2,RequestEmail[],2,FALSE))),VLOOKUP(C2,RequestEmail[],2,FALSE),"")</f>
        <v>gschack@yahoo-inc.com</v>
      </c>
      <c r="E2" s="3" t="s">
        <v>40</v>
      </c>
      <c r="F2" s="10">
        <v>42380.772060185183</v>
      </c>
      <c r="G2" s="3"/>
      <c r="I2" s="3" t="s">
        <v>42</v>
      </c>
      <c r="J2" s="3" t="b">
        <f>AND(B2&lt;&gt;"",C2&lt;&gt;"",E2&lt;&gt;"")</f>
        <v>1</v>
      </c>
    </row>
    <row r="3" spans="1:10">
      <c r="A3" s="8">
        <f>ROW(A2)</f>
        <v>2</v>
      </c>
      <c r="D3" s="6" t="str">
        <f>IF(NOT(ISNA(VLOOKUP(C3,RequestEmail[],2,FALSE))),VLOOKUP(C3,RequestEmail[],2,FALSE),"")</f>
        <v/>
      </c>
      <c r="G3" s="3"/>
      <c r="J3" s="3" t="b">
        <f t="shared" ref="J3:J66" si="0">AND(B3&lt;&gt;"",C3&lt;&gt;"",E3&lt;&gt;"")</f>
        <v>0</v>
      </c>
    </row>
    <row r="4" spans="1:10">
      <c r="A4" s="8">
        <f t="shared" ref="A4:A67" si="1">ROW(A3)</f>
        <v>3</v>
      </c>
      <c r="D4" s="6" t="str">
        <f>IF(NOT(ISNA(VLOOKUP(C4,RequestEmail[],2,FALSE))),VLOOKUP(C4,RequestEmail[],2,FALSE),"")</f>
        <v/>
      </c>
      <c r="G4" s="3"/>
      <c r="J4" s="3" t="b">
        <f t="shared" si="0"/>
        <v>0</v>
      </c>
    </row>
    <row r="5" spans="1:10">
      <c r="A5" s="8">
        <f t="shared" si="1"/>
        <v>4</v>
      </c>
      <c r="D5" s="6" t="str">
        <f>IF(NOT(ISNA(VLOOKUP(C5,RequestEmail[],2,FALSE))),VLOOKUP(C5,RequestEmail[],2,FALSE),"")</f>
        <v/>
      </c>
      <c r="G5" s="3"/>
      <c r="J5" s="3" t="b">
        <f t="shared" si="0"/>
        <v>0</v>
      </c>
    </row>
    <row r="6" spans="1:10">
      <c r="A6" s="8">
        <f t="shared" si="1"/>
        <v>5</v>
      </c>
      <c r="D6" s="6" t="str">
        <f>IF(NOT(ISNA(VLOOKUP(C6,RequestEmail[],2,FALSE))),VLOOKUP(C6,RequestEmail[],2,FALSE),"")</f>
        <v/>
      </c>
      <c r="G6" s="3"/>
      <c r="J6" s="3" t="b">
        <f t="shared" si="0"/>
        <v>0</v>
      </c>
    </row>
    <row r="7" spans="1:10">
      <c r="A7" s="8">
        <f t="shared" si="1"/>
        <v>6</v>
      </c>
      <c r="D7" s="6" t="str">
        <f>IF(NOT(ISNA(VLOOKUP(C7,RequestEmail[],2,FALSE))),VLOOKUP(C7,RequestEmail[],2,FALSE),"")</f>
        <v/>
      </c>
      <c r="G7" s="3"/>
      <c r="J7" s="3" t="b">
        <f t="shared" si="0"/>
        <v>0</v>
      </c>
    </row>
    <row r="8" spans="1:10">
      <c r="A8" s="8">
        <f t="shared" si="1"/>
        <v>7</v>
      </c>
      <c r="D8" s="6" t="str">
        <f>IF(NOT(ISNA(VLOOKUP(C8,RequestEmail[],2,FALSE))),VLOOKUP(C8,RequestEmail[],2,FALSE),"")</f>
        <v/>
      </c>
      <c r="G8" s="3"/>
      <c r="J8" s="3" t="b">
        <f t="shared" si="0"/>
        <v>0</v>
      </c>
    </row>
    <row r="9" spans="1:10">
      <c r="A9" s="8">
        <f t="shared" si="1"/>
        <v>8</v>
      </c>
      <c r="D9" s="6" t="str">
        <f>IF(NOT(ISNA(VLOOKUP(C9,RequestEmail[],2,FALSE))),VLOOKUP(C9,RequestEmail[],2,FALSE),"")</f>
        <v/>
      </c>
      <c r="G9" s="3"/>
      <c r="J9" s="3" t="b">
        <f t="shared" si="0"/>
        <v>0</v>
      </c>
    </row>
    <row r="10" spans="1:10">
      <c r="A10" s="8">
        <f t="shared" si="1"/>
        <v>9</v>
      </c>
      <c r="D10" s="6" t="str">
        <f>IF(NOT(ISNA(VLOOKUP(C10,RequestEmail[],2,FALSE))),VLOOKUP(C10,RequestEmail[],2,FALSE),"")</f>
        <v/>
      </c>
      <c r="G10" s="3"/>
      <c r="J10" s="3" t="b">
        <f t="shared" si="0"/>
        <v>0</v>
      </c>
    </row>
    <row r="11" spans="1:10">
      <c r="A11" s="8">
        <f t="shared" si="1"/>
        <v>10</v>
      </c>
      <c r="D11" s="6" t="str">
        <f>IF(NOT(ISNA(VLOOKUP(C11,RequestEmail[],2,FALSE))),VLOOKUP(C11,RequestEmail[],2,FALSE),"")</f>
        <v/>
      </c>
      <c r="G11" s="3"/>
      <c r="J11" s="3" t="b">
        <f t="shared" si="0"/>
        <v>0</v>
      </c>
    </row>
    <row r="12" spans="1:10">
      <c r="A12" s="8">
        <f t="shared" si="1"/>
        <v>11</v>
      </c>
      <c r="D12" s="6" t="str">
        <f>IF(NOT(ISNA(VLOOKUP(C12,RequestEmail[],2,FALSE))),VLOOKUP(C12,RequestEmail[],2,FALSE),"")</f>
        <v/>
      </c>
      <c r="G12" s="3"/>
      <c r="J12" s="3" t="b">
        <f t="shared" si="0"/>
        <v>0</v>
      </c>
    </row>
    <row r="13" spans="1:10">
      <c r="A13" s="8">
        <f t="shared" si="1"/>
        <v>12</v>
      </c>
      <c r="D13" s="6" t="str">
        <f>IF(NOT(ISNA(VLOOKUP(C13,RequestEmail[],2,FALSE))),VLOOKUP(C13,RequestEmail[],2,FALSE),"")</f>
        <v/>
      </c>
      <c r="G13" s="3"/>
      <c r="J13" s="3" t="b">
        <f t="shared" si="0"/>
        <v>0</v>
      </c>
    </row>
    <row r="14" spans="1:10">
      <c r="A14" s="8">
        <f t="shared" si="1"/>
        <v>13</v>
      </c>
      <c r="D14" s="6" t="str">
        <f>IF(NOT(ISNA(VLOOKUP(C14,RequestEmail[],2,FALSE))),VLOOKUP(C14,RequestEmail[],2,FALSE),"")</f>
        <v/>
      </c>
      <c r="G14" s="3"/>
      <c r="J14" s="3" t="b">
        <f t="shared" si="0"/>
        <v>0</v>
      </c>
    </row>
    <row r="15" spans="1:10">
      <c r="A15" s="8">
        <f t="shared" si="1"/>
        <v>14</v>
      </c>
      <c r="D15" s="6" t="str">
        <f>IF(NOT(ISNA(VLOOKUP(C15,RequestEmail[],2,FALSE))),VLOOKUP(C15,RequestEmail[],2,FALSE),"")</f>
        <v/>
      </c>
      <c r="G15" s="3"/>
      <c r="J15" s="3" t="b">
        <f t="shared" si="0"/>
        <v>0</v>
      </c>
    </row>
    <row r="16" spans="1:10">
      <c r="A16" s="8">
        <f t="shared" si="1"/>
        <v>15</v>
      </c>
      <c r="D16" s="6" t="str">
        <f>IF(NOT(ISNA(VLOOKUP(C16,RequestEmail[],2,FALSE))),VLOOKUP(C16,RequestEmail[],2,FALSE),"")</f>
        <v/>
      </c>
      <c r="G16" s="3"/>
      <c r="J16" s="3" t="b">
        <f t="shared" si="0"/>
        <v>0</v>
      </c>
    </row>
    <row r="17" spans="1:10">
      <c r="A17" s="8">
        <f t="shared" si="1"/>
        <v>16</v>
      </c>
      <c r="D17" s="6" t="str">
        <f>IF(NOT(ISNA(VLOOKUP(C17,RequestEmail[],2,FALSE))),VLOOKUP(C17,RequestEmail[],2,FALSE),"")</f>
        <v/>
      </c>
      <c r="G17" s="3"/>
      <c r="J17" s="3" t="b">
        <f t="shared" si="0"/>
        <v>0</v>
      </c>
    </row>
    <row r="18" spans="1:10">
      <c r="A18" s="8">
        <f t="shared" si="1"/>
        <v>17</v>
      </c>
      <c r="D18" s="6" t="str">
        <f>IF(NOT(ISNA(VLOOKUP(C18,RequestEmail[],2,FALSE))),VLOOKUP(C18,RequestEmail[],2,FALSE),"")</f>
        <v/>
      </c>
      <c r="G18" s="3"/>
      <c r="J18" s="3" t="b">
        <f t="shared" si="0"/>
        <v>0</v>
      </c>
    </row>
    <row r="19" spans="1:10">
      <c r="A19" s="8">
        <f t="shared" si="1"/>
        <v>18</v>
      </c>
      <c r="D19" s="6" t="str">
        <f>IF(NOT(ISNA(VLOOKUP(C19,RequestEmail[],2,FALSE))),VLOOKUP(C19,RequestEmail[],2,FALSE),"")</f>
        <v/>
      </c>
      <c r="G19" s="3"/>
      <c r="J19" s="3" t="b">
        <f t="shared" si="0"/>
        <v>0</v>
      </c>
    </row>
    <row r="20" spans="1:10">
      <c r="A20" s="8">
        <f t="shared" si="1"/>
        <v>19</v>
      </c>
      <c r="D20" s="6" t="str">
        <f>IF(NOT(ISNA(VLOOKUP(C20,RequestEmail[],2,FALSE))),VLOOKUP(C20,RequestEmail[],2,FALSE),"")</f>
        <v/>
      </c>
      <c r="G20" s="3"/>
      <c r="J20" s="3" t="b">
        <f t="shared" si="0"/>
        <v>0</v>
      </c>
    </row>
    <row r="21" spans="1:10">
      <c r="A21" s="8">
        <f t="shared" si="1"/>
        <v>20</v>
      </c>
      <c r="D21" s="6" t="str">
        <f>IF(NOT(ISNA(VLOOKUP(C21,RequestEmail[],2,FALSE))),VLOOKUP(C21,RequestEmail[],2,FALSE),"")</f>
        <v/>
      </c>
      <c r="G21" s="3"/>
      <c r="J21" s="3" t="b">
        <f t="shared" si="0"/>
        <v>0</v>
      </c>
    </row>
    <row r="22" spans="1:10">
      <c r="A22" s="8">
        <f t="shared" si="1"/>
        <v>21</v>
      </c>
      <c r="D22" s="6" t="str">
        <f>IF(NOT(ISNA(VLOOKUP(C22,RequestEmail[],2,FALSE))),VLOOKUP(C22,RequestEmail[],2,FALSE),"")</f>
        <v/>
      </c>
      <c r="G22" s="3"/>
      <c r="J22" s="3" t="b">
        <f t="shared" si="0"/>
        <v>0</v>
      </c>
    </row>
    <row r="23" spans="1:10">
      <c r="A23" s="8">
        <f t="shared" si="1"/>
        <v>22</v>
      </c>
      <c r="D23" s="6" t="str">
        <f>IF(NOT(ISNA(VLOOKUP(C23,RequestEmail[],2,FALSE))),VLOOKUP(C23,RequestEmail[],2,FALSE),"")</f>
        <v/>
      </c>
      <c r="G23" s="3"/>
      <c r="J23" s="3" t="b">
        <f t="shared" si="0"/>
        <v>0</v>
      </c>
    </row>
    <row r="24" spans="1:10">
      <c r="A24" s="8">
        <f t="shared" si="1"/>
        <v>23</v>
      </c>
      <c r="D24" s="6" t="str">
        <f>IF(NOT(ISNA(VLOOKUP(C24,RequestEmail[],2,FALSE))),VLOOKUP(C24,RequestEmail[],2,FALSE),"")</f>
        <v/>
      </c>
      <c r="G24" s="3"/>
      <c r="J24" s="3" t="b">
        <f t="shared" si="0"/>
        <v>0</v>
      </c>
    </row>
    <row r="25" spans="1:10">
      <c r="A25" s="8">
        <f t="shared" si="1"/>
        <v>24</v>
      </c>
      <c r="D25" s="6" t="str">
        <f>IF(NOT(ISNA(VLOOKUP(C25,RequestEmail[],2,FALSE))),VLOOKUP(C25,RequestEmail[],2,FALSE),"")</f>
        <v/>
      </c>
      <c r="G25" s="3"/>
      <c r="J25" s="3" t="b">
        <f t="shared" si="0"/>
        <v>0</v>
      </c>
    </row>
    <row r="26" spans="1:10">
      <c r="A26" s="8">
        <f t="shared" si="1"/>
        <v>25</v>
      </c>
      <c r="D26" s="6" t="str">
        <f>IF(NOT(ISNA(VLOOKUP(C26,RequestEmail[],2,FALSE))),VLOOKUP(C26,RequestEmail[],2,FALSE),"")</f>
        <v/>
      </c>
      <c r="G26" s="3"/>
      <c r="J26" s="3" t="b">
        <f t="shared" si="0"/>
        <v>0</v>
      </c>
    </row>
    <row r="27" spans="1:10">
      <c r="A27" s="8">
        <f t="shared" si="1"/>
        <v>26</v>
      </c>
      <c r="D27" s="6" t="str">
        <f>IF(NOT(ISNA(VLOOKUP(C27,RequestEmail[],2,FALSE))),VLOOKUP(C27,RequestEmail[],2,FALSE),"")</f>
        <v/>
      </c>
      <c r="G27" s="3"/>
      <c r="J27" s="3" t="b">
        <f t="shared" si="0"/>
        <v>0</v>
      </c>
    </row>
    <row r="28" spans="1:10">
      <c r="A28" s="8">
        <f t="shared" si="1"/>
        <v>27</v>
      </c>
      <c r="D28" s="6" t="str">
        <f>IF(NOT(ISNA(VLOOKUP(C28,RequestEmail[],2,FALSE))),VLOOKUP(C28,RequestEmail[],2,FALSE),"")</f>
        <v/>
      </c>
      <c r="G28" s="3"/>
      <c r="J28" s="3" t="b">
        <f t="shared" si="0"/>
        <v>0</v>
      </c>
    </row>
    <row r="29" spans="1:10">
      <c r="A29" s="8">
        <f t="shared" si="1"/>
        <v>28</v>
      </c>
      <c r="D29" s="6" t="str">
        <f>IF(NOT(ISNA(VLOOKUP(C29,RequestEmail[],2,FALSE))),VLOOKUP(C29,RequestEmail[],2,FALSE),"")</f>
        <v/>
      </c>
      <c r="G29" s="3"/>
      <c r="J29" s="3" t="b">
        <f t="shared" si="0"/>
        <v>0</v>
      </c>
    </row>
    <row r="30" spans="1:10">
      <c r="A30" s="8">
        <f t="shared" si="1"/>
        <v>29</v>
      </c>
      <c r="D30" s="6" t="str">
        <f>IF(NOT(ISNA(VLOOKUP(C30,RequestEmail[],2,FALSE))),VLOOKUP(C30,RequestEmail[],2,FALSE),"")</f>
        <v/>
      </c>
      <c r="G30" s="3"/>
      <c r="J30" s="3" t="b">
        <f t="shared" si="0"/>
        <v>0</v>
      </c>
    </row>
    <row r="31" spans="1:10">
      <c r="A31" s="8">
        <f t="shared" si="1"/>
        <v>30</v>
      </c>
      <c r="D31" s="6" t="str">
        <f>IF(NOT(ISNA(VLOOKUP(C31,RequestEmail[],2,FALSE))),VLOOKUP(C31,RequestEmail[],2,FALSE),"")</f>
        <v/>
      </c>
      <c r="G31" s="3"/>
      <c r="J31" s="3" t="b">
        <f t="shared" si="0"/>
        <v>0</v>
      </c>
    </row>
    <row r="32" spans="1:10">
      <c r="A32" s="8">
        <f t="shared" si="1"/>
        <v>31</v>
      </c>
      <c r="D32" s="6" t="str">
        <f>IF(NOT(ISNA(VLOOKUP(C32,RequestEmail[],2,FALSE))),VLOOKUP(C32,RequestEmail[],2,FALSE),"")</f>
        <v/>
      </c>
      <c r="G32" s="3"/>
      <c r="J32" s="3" t="b">
        <f t="shared" si="0"/>
        <v>0</v>
      </c>
    </row>
    <row r="33" spans="1:10">
      <c r="A33" s="8">
        <f t="shared" si="1"/>
        <v>32</v>
      </c>
      <c r="D33" s="6" t="str">
        <f>IF(NOT(ISNA(VLOOKUP(C33,RequestEmail[],2,FALSE))),VLOOKUP(C33,RequestEmail[],2,FALSE),"")</f>
        <v/>
      </c>
      <c r="G33" s="3"/>
      <c r="J33" s="3" t="b">
        <f t="shared" si="0"/>
        <v>0</v>
      </c>
    </row>
    <row r="34" spans="1:10">
      <c r="A34" s="8">
        <f t="shared" si="1"/>
        <v>33</v>
      </c>
      <c r="D34" s="6" t="str">
        <f>IF(NOT(ISNA(VLOOKUP(C34,RequestEmail[],2,FALSE))),VLOOKUP(C34,RequestEmail[],2,FALSE),"")</f>
        <v/>
      </c>
      <c r="G34" s="3"/>
      <c r="J34" s="3" t="b">
        <f t="shared" si="0"/>
        <v>0</v>
      </c>
    </row>
    <row r="35" spans="1:10">
      <c r="A35" s="8">
        <f t="shared" si="1"/>
        <v>34</v>
      </c>
      <c r="D35" s="6" t="str">
        <f>IF(NOT(ISNA(VLOOKUP(C35,RequestEmail[],2,FALSE))),VLOOKUP(C35,RequestEmail[],2,FALSE),"")</f>
        <v/>
      </c>
      <c r="G35" s="3"/>
      <c r="J35" s="3" t="b">
        <f t="shared" si="0"/>
        <v>0</v>
      </c>
    </row>
    <row r="36" spans="1:10">
      <c r="A36" s="8">
        <f t="shared" si="1"/>
        <v>35</v>
      </c>
      <c r="D36" s="6" t="str">
        <f>IF(NOT(ISNA(VLOOKUP(C36,RequestEmail[],2,FALSE))),VLOOKUP(C36,RequestEmail[],2,FALSE),"")</f>
        <v/>
      </c>
      <c r="G36" s="3"/>
      <c r="J36" s="3" t="b">
        <f t="shared" si="0"/>
        <v>0</v>
      </c>
    </row>
    <row r="37" spans="1:10">
      <c r="A37" s="8">
        <f t="shared" si="1"/>
        <v>36</v>
      </c>
      <c r="D37" s="6" t="str">
        <f>IF(NOT(ISNA(VLOOKUP(C37,RequestEmail[],2,FALSE))),VLOOKUP(C37,RequestEmail[],2,FALSE),"")</f>
        <v/>
      </c>
      <c r="G37" s="3"/>
      <c r="J37" s="3" t="b">
        <f t="shared" si="0"/>
        <v>0</v>
      </c>
    </row>
    <row r="38" spans="1:10">
      <c r="A38" s="8">
        <f t="shared" si="1"/>
        <v>37</v>
      </c>
      <c r="D38" s="6" t="str">
        <f>IF(NOT(ISNA(VLOOKUP(C38,RequestEmail[],2,FALSE))),VLOOKUP(C38,RequestEmail[],2,FALSE),"")</f>
        <v/>
      </c>
      <c r="G38" s="3"/>
      <c r="J38" s="3" t="b">
        <f t="shared" si="0"/>
        <v>0</v>
      </c>
    </row>
    <row r="39" spans="1:10">
      <c r="A39" s="8">
        <f t="shared" si="1"/>
        <v>38</v>
      </c>
      <c r="D39" s="6" t="str">
        <f>IF(NOT(ISNA(VLOOKUP(C39,RequestEmail[],2,FALSE))),VLOOKUP(C39,RequestEmail[],2,FALSE),"")</f>
        <v/>
      </c>
      <c r="G39" s="3"/>
      <c r="J39" s="3" t="b">
        <f t="shared" si="0"/>
        <v>0</v>
      </c>
    </row>
    <row r="40" spans="1:10">
      <c r="A40" s="8">
        <f t="shared" si="1"/>
        <v>39</v>
      </c>
      <c r="D40" s="6" t="str">
        <f>IF(NOT(ISNA(VLOOKUP(C40,RequestEmail[],2,FALSE))),VLOOKUP(C40,RequestEmail[],2,FALSE),"")</f>
        <v/>
      </c>
      <c r="G40" s="3"/>
      <c r="J40" s="3" t="b">
        <f t="shared" si="0"/>
        <v>0</v>
      </c>
    </row>
    <row r="41" spans="1:10">
      <c r="A41" s="8">
        <f t="shared" si="1"/>
        <v>40</v>
      </c>
      <c r="D41" s="6" t="str">
        <f>IF(NOT(ISNA(VLOOKUP(C41,RequestEmail[],2,FALSE))),VLOOKUP(C41,RequestEmail[],2,FALSE),"")</f>
        <v/>
      </c>
      <c r="G41" s="3"/>
      <c r="J41" s="3" t="b">
        <f t="shared" si="0"/>
        <v>0</v>
      </c>
    </row>
    <row r="42" spans="1:10">
      <c r="A42" s="8">
        <f t="shared" si="1"/>
        <v>41</v>
      </c>
      <c r="D42" s="6" t="str">
        <f>IF(NOT(ISNA(VLOOKUP(C42,RequestEmail[],2,FALSE))),VLOOKUP(C42,RequestEmail[],2,FALSE),"")</f>
        <v/>
      </c>
      <c r="G42" s="3"/>
      <c r="J42" s="3" t="b">
        <f t="shared" si="0"/>
        <v>0</v>
      </c>
    </row>
    <row r="43" spans="1:10">
      <c r="A43" s="8">
        <f t="shared" si="1"/>
        <v>42</v>
      </c>
      <c r="D43" s="6" t="str">
        <f>IF(NOT(ISNA(VLOOKUP(C43,RequestEmail[],2,FALSE))),VLOOKUP(C43,RequestEmail[],2,FALSE),"")</f>
        <v/>
      </c>
      <c r="G43" s="3"/>
      <c r="J43" s="3" t="b">
        <f t="shared" si="0"/>
        <v>0</v>
      </c>
    </row>
    <row r="44" spans="1:10">
      <c r="A44" s="8">
        <f t="shared" si="1"/>
        <v>43</v>
      </c>
      <c r="D44" s="6" t="str">
        <f>IF(NOT(ISNA(VLOOKUP(C44,RequestEmail[],2,FALSE))),VLOOKUP(C44,RequestEmail[],2,FALSE),"")</f>
        <v/>
      </c>
      <c r="G44" s="3"/>
      <c r="J44" s="3" t="b">
        <f t="shared" si="0"/>
        <v>0</v>
      </c>
    </row>
    <row r="45" spans="1:10">
      <c r="A45" s="8">
        <f t="shared" si="1"/>
        <v>44</v>
      </c>
      <c r="D45" s="6" t="str">
        <f>IF(NOT(ISNA(VLOOKUP(C45,RequestEmail[],2,FALSE))),VLOOKUP(C45,RequestEmail[],2,FALSE),"")</f>
        <v/>
      </c>
      <c r="G45" s="3"/>
      <c r="J45" s="3" t="b">
        <f t="shared" si="0"/>
        <v>0</v>
      </c>
    </row>
    <row r="46" spans="1:10">
      <c r="A46" s="8">
        <f t="shared" si="1"/>
        <v>45</v>
      </c>
      <c r="D46" s="6" t="str">
        <f>IF(NOT(ISNA(VLOOKUP(C46,RequestEmail[],2,FALSE))),VLOOKUP(C46,RequestEmail[],2,FALSE),"")</f>
        <v/>
      </c>
      <c r="G46" s="3"/>
      <c r="J46" s="3" t="b">
        <f t="shared" si="0"/>
        <v>0</v>
      </c>
    </row>
    <row r="47" spans="1:10">
      <c r="A47" s="8">
        <f t="shared" si="1"/>
        <v>46</v>
      </c>
      <c r="D47" s="6" t="str">
        <f>IF(NOT(ISNA(VLOOKUP(C47,RequestEmail[],2,FALSE))),VLOOKUP(C47,RequestEmail[],2,FALSE),"")</f>
        <v/>
      </c>
      <c r="G47" s="3"/>
      <c r="J47" s="3" t="b">
        <f t="shared" si="0"/>
        <v>0</v>
      </c>
    </row>
    <row r="48" spans="1:10">
      <c r="A48" s="8">
        <f t="shared" si="1"/>
        <v>47</v>
      </c>
      <c r="D48" s="6" t="str">
        <f>IF(NOT(ISNA(VLOOKUP(C48,RequestEmail[],2,FALSE))),VLOOKUP(C48,RequestEmail[],2,FALSE),"")</f>
        <v/>
      </c>
      <c r="G48" s="3"/>
      <c r="J48" s="3" t="b">
        <f t="shared" si="0"/>
        <v>0</v>
      </c>
    </row>
    <row r="49" spans="1:10">
      <c r="A49" s="8">
        <f t="shared" si="1"/>
        <v>48</v>
      </c>
      <c r="D49" s="6" t="str">
        <f>IF(NOT(ISNA(VLOOKUP(C49,RequestEmail[],2,FALSE))),VLOOKUP(C49,RequestEmail[],2,FALSE),"")</f>
        <v/>
      </c>
      <c r="G49" s="3"/>
      <c r="J49" s="3" t="b">
        <f t="shared" si="0"/>
        <v>0</v>
      </c>
    </row>
    <row r="50" spans="1:10">
      <c r="A50" s="8">
        <f t="shared" si="1"/>
        <v>49</v>
      </c>
      <c r="D50" s="6" t="str">
        <f>IF(NOT(ISNA(VLOOKUP(C50,RequestEmail[],2,FALSE))),VLOOKUP(C50,RequestEmail[],2,FALSE),"")</f>
        <v/>
      </c>
      <c r="G50" s="3"/>
      <c r="J50" s="3" t="b">
        <f t="shared" si="0"/>
        <v>0</v>
      </c>
    </row>
    <row r="51" spans="1:10">
      <c r="A51" s="8">
        <f t="shared" si="1"/>
        <v>50</v>
      </c>
      <c r="D51" s="6" t="str">
        <f>IF(NOT(ISNA(VLOOKUP(C51,RequestEmail[],2,FALSE))),VLOOKUP(C51,RequestEmail[],2,FALSE),"")</f>
        <v/>
      </c>
      <c r="G51" s="3"/>
      <c r="J51" s="3" t="b">
        <f t="shared" si="0"/>
        <v>0</v>
      </c>
    </row>
    <row r="52" spans="1:10">
      <c r="A52" s="8">
        <f t="shared" si="1"/>
        <v>51</v>
      </c>
      <c r="D52" s="6" t="str">
        <f>IF(NOT(ISNA(VLOOKUP(C52,RequestEmail[],2,FALSE))),VLOOKUP(C52,RequestEmail[],2,FALSE),"")</f>
        <v/>
      </c>
      <c r="G52" s="3"/>
      <c r="J52" s="3" t="b">
        <f t="shared" si="0"/>
        <v>0</v>
      </c>
    </row>
    <row r="53" spans="1:10">
      <c r="A53" s="8">
        <f t="shared" si="1"/>
        <v>52</v>
      </c>
      <c r="D53" s="6" t="str">
        <f>IF(NOT(ISNA(VLOOKUP(C53,RequestEmail[],2,FALSE))),VLOOKUP(C53,RequestEmail[],2,FALSE),"")</f>
        <v/>
      </c>
      <c r="G53" s="3"/>
      <c r="J53" s="3" t="b">
        <f t="shared" si="0"/>
        <v>0</v>
      </c>
    </row>
    <row r="54" spans="1:10">
      <c r="A54" s="8">
        <f t="shared" si="1"/>
        <v>53</v>
      </c>
      <c r="D54" s="6" t="str">
        <f>IF(NOT(ISNA(VLOOKUP(C54,RequestEmail[],2,FALSE))),VLOOKUP(C54,RequestEmail[],2,FALSE),"")</f>
        <v/>
      </c>
      <c r="G54" s="3"/>
      <c r="J54" s="3" t="b">
        <f t="shared" si="0"/>
        <v>0</v>
      </c>
    </row>
    <row r="55" spans="1:10">
      <c r="A55" s="8">
        <f t="shared" si="1"/>
        <v>54</v>
      </c>
      <c r="D55" s="6" t="str">
        <f>IF(NOT(ISNA(VLOOKUP(C55,RequestEmail[],2,FALSE))),VLOOKUP(C55,RequestEmail[],2,FALSE),"")</f>
        <v/>
      </c>
      <c r="G55" s="3"/>
      <c r="J55" s="3" t="b">
        <f t="shared" si="0"/>
        <v>0</v>
      </c>
    </row>
    <row r="56" spans="1:10">
      <c r="A56" s="8">
        <f t="shared" si="1"/>
        <v>55</v>
      </c>
      <c r="D56" s="6" t="str">
        <f>IF(NOT(ISNA(VLOOKUP(C56,RequestEmail[],2,FALSE))),VLOOKUP(C56,RequestEmail[],2,FALSE),"")</f>
        <v/>
      </c>
      <c r="G56" s="3"/>
      <c r="J56" s="3" t="b">
        <f t="shared" si="0"/>
        <v>0</v>
      </c>
    </row>
    <row r="57" spans="1:10">
      <c r="A57" s="8">
        <f t="shared" si="1"/>
        <v>56</v>
      </c>
      <c r="D57" s="6" t="str">
        <f>IF(NOT(ISNA(VLOOKUP(C57,RequestEmail[],2,FALSE))),VLOOKUP(C57,RequestEmail[],2,FALSE),"")</f>
        <v/>
      </c>
      <c r="G57" s="3"/>
      <c r="J57" s="3" t="b">
        <f t="shared" si="0"/>
        <v>0</v>
      </c>
    </row>
    <row r="58" spans="1:10">
      <c r="A58" s="8">
        <f t="shared" si="1"/>
        <v>57</v>
      </c>
      <c r="D58" s="6" t="str">
        <f>IF(NOT(ISNA(VLOOKUP(C58,RequestEmail[],2,FALSE))),VLOOKUP(C58,RequestEmail[],2,FALSE),"")</f>
        <v/>
      </c>
      <c r="G58" s="3"/>
      <c r="J58" s="3" t="b">
        <f t="shared" si="0"/>
        <v>0</v>
      </c>
    </row>
    <row r="59" spans="1:10">
      <c r="A59" s="8">
        <f t="shared" si="1"/>
        <v>58</v>
      </c>
      <c r="D59" s="6" t="str">
        <f>IF(NOT(ISNA(VLOOKUP(C59,RequestEmail[],2,FALSE))),VLOOKUP(C59,RequestEmail[],2,FALSE),"")</f>
        <v/>
      </c>
      <c r="G59" s="3"/>
      <c r="J59" s="3" t="b">
        <f t="shared" si="0"/>
        <v>0</v>
      </c>
    </row>
    <row r="60" spans="1:10">
      <c r="A60" s="8">
        <f t="shared" si="1"/>
        <v>59</v>
      </c>
      <c r="D60" s="6" t="str">
        <f>IF(NOT(ISNA(VLOOKUP(C60,RequestEmail[],2,FALSE))),VLOOKUP(C60,RequestEmail[],2,FALSE),"")</f>
        <v/>
      </c>
      <c r="G60" s="3"/>
      <c r="J60" s="3" t="b">
        <f t="shared" si="0"/>
        <v>0</v>
      </c>
    </row>
    <row r="61" spans="1:10">
      <c r="A61" s="8">
        <f t="shared" si="1"/>
        <v>60</v>
      </c>
      <c r="D61" s="6" t="str">
        <f>IF(NOT(ISNA(VLOOKUP(C61,RequestEmail[],2,FALSE))),VLOOKUP(C61,RequestEmail[],2,FALSE),"")</f>
        <v/>
      </c>
      <c r="G61" s="3"/>
      <c r="J61" s="3" t="b">
        <f t="shared" si="0"/>
        <v>0</v>
      </c>
    </row>
    <row r="62" spans="1:10">
      <c r="A62" s="8">
        <f t="shared" si="1"/>
        <v>61</v>
      </c>
      <c r="D62" s="6" t="str">
        <f>IF(NOT(ISNA(VLOOKUP(C62,RequestEmail[],2,FALSE))),VLOOKUP(C62,RequestEmail[],2,FALSE),"")</f>
        <v/>
      </c>
      <c r="G62" s="3"/>
      <c r="J62" s="3" t="b">
        <f t="shared" si="0"/>
        <v>0</v>
      </c>
    </row>
    <row r="63" spans="1:10">
      <c r="A63" s="8">
        <f t="shared" si="1"/>
        <v>62</v>
      </c>
      <c r="D63" s="6" t="str">
        <f>IF(NOT(ISNA(VLOOKUP(C63,RequestEmail[],2,FALSE))),VLOOKUP(C63,RequestEmail[],2,FALSE),"")</f>
        <v/>
      </c>
      <c r="G63" s="3"/>
      <c r="J63" s="3" t="b">
        <f t="shared" si="0"/>
        <v>0</v>
      </c>
    </row>
    <row r="64" spans="1:10">
      <c r="A64" s="8">
        <f t="shared" si="1"/>
        <v>63</v>
      </c>
      <c r="D64" s="6" t="str">
        <f>IF(NOT(ISNA(VLOOKUP(C64,RequestEmail[],2,FALSE))),VLOOKUP(C64,RequestEmail[],2,FALSE),"")</f>
        <v/>
      </c>
      <c r="G64" s="3"/>
      <c r="J64" s="3" t="b">
        <f t="shared" si="0"/>
        <v>0</v>
      </c>
    </row>
    <row r="65" spans="1:10">
      <c r="A65" s="8">
        <f t="shared" si="1"/>
        <v>64</v>
      </c>
      <c r="D65" s="6" t="str">
        <f>IF(NOT(ISNA(VLOOKUP(C65,RequestEmail[],2,FALSE))),VLOOKUP(C65,RequestEmail[],2,FALSE),"")</f>
        <v/>
      </c>
      <c r="G65" s="3"/>
      <c r="J65" s="3" t="b">
        <f t="shared" si="0"/>
        <v>0</v>
      </c>
    </row>
    <row r="66" spans="1:10">
      <c r="A66" s="8">
        <f t="shared" si="1"/>
        <v>65</v>
      </c>
      <c r="D66" s="6" t="str">
        <f>IF(NOT(ISNA(VLOOKUP(C66,RequestEmail[],2,FALSE))),VLOOKUP(C66,RequestEmail[],2,FALSE),"")</f>
        <v/>
      </c>
      <c r="G66" s="3"/>
      <c r="J66" s="3" t="b">
        <f t="shared" si="0"/>
        <v>0</v>
      </c>
    </row>
    <row r="67" spans="1:10">
      <c r="A67" s="8">
        <f t="shared" si="1"/>
        <v>66</v>
      </c>
      <c r="D67" s="6" t="str">
        <f>IF(NOT(ISNA(VLOOKUP(C67,RequestEmail[],2,FALSE))),VLOOKUP(C67,RequestEmail[],2,FALSE),"")</f>
        <v/>
      </c>
      <c r="G67" s="3"/>
      <c r="J67" s="3" t="b">
        <f t="shared" ref="J67:J130" si="2">AND(B67&lt;&gt;"",C67&lt;&gt;"",E67&lt;&gt;"")</f>
        <v>0</v>
      </c>
    </row>
    <row r="68" spans="1:10">
      <c r="A68" s="8">
        <f t="shared" ref="A68:A131" si="3">ROW(A67)</f>
        <v>67</v>
      </c>
      <c r="D68" s="6" t="str">
        <f>IF(NOT(ISNA(VLOOKUP(C68,RequestEmail[],2,FALSE))),VLOOKUP(C68,RequestEmail[],2,FALSE),"")</f>
        <v/>
      </c>
      <c r="G68" s="3"/>
      <c r="J68" s="3" t="b">
        <f t="shared" si="2"/>
        <v>0</v>
      </c>
    </row>
    <row r="69" spans="1:10">
      <c r="A69" s="8">
        <f t="shared" si="3"/>
        <v>68</v>
      </c>
      <c r="D69" s="6" t="str">
        <f>IF(NOT(ISNA(VLOOKUP(C69,RequestEmail[],2,FALSE))),VLOOKUP(C69,RequestEmail[],2,FALSE),"")</f>
        <v/>
      </c>
      <c r="G69" s="3"/>
      <c r="J69" s="3" t="b">
        <f t="shared" si="2"/>
        <v>0</v>
      </c>
    </row>
    <row r="70" spans="1:10">
      <c r="A70" s="8">
        <f t="shared" si="3"/>
        <v>69</v>
      </c>
      <c r="D70" s="6" t="str">
        <f>IF(NOT(ISNA(VLOOKUP(C70,RequestEmail[],2,FALSE))),VLOOKUP(C70,RequestEmail[],2,FALSE),"")</f>
        <v/>
      </c>
      <c r="G70" s="3"/>
      <c r="J70" s="3" t="b">
        <f t="shared" si="2"/>
        <v>0</v>
      </c>
    </row>
    <row r="71" spans="1:10">
      <c r="A71" s="8">
        <f t="shared" si="3"/>
        <v>70</v>
      </c>
      <c r="D71" s="6" t="str">
        <f>IF(NOT(ISNA(VLOOKUP(C71,RequestEmail[],2,FALSE))),VLOOKUP(C71,RequestEmail[],2,FALSE),"")</f>
        <v/>
      </c>
      <c r="G71" s="3"/>
      <c r="J71" s="3" t="b">
        <f t="shared" si="2"/>
        <v>0</v>
      </c>
    </row>
    <row r="72" spans="1:10">
      <c r="A72" s="8">
        <f t="shared" si="3"/>
        <v>71</v>
      </c>
      <c r="D72" s="6" t="str">
        <f>IF(NOT(ISNA(VLOOKUP(C72,RequestEmail[],2,FALSE))),VLOOKUP(C72,RequestEmail[],2,FALSE),"")</f>
        <v/>
      </c>
      <c r="G72" s="3"/>
      <c r="J72" s="3" t="b">
        <f t="shared" si="2"/>
        <v>0</v>
      </c>
    </row>
    <row r="73" spans="1:10">
      <c r="A73" s="8">
        <f t="shared" si="3"/>
        <v>72</v>
      </c>
      <c r="D73" s="6" t="str">
        <f>IF(NOT(ISNA(VLOOKUP(C73,RequestEmail[],2,FALSE))),VLOOKUP(C73,RequestEmail[],2,FALSE),"")</f>
        <v/>
      </c>
      <c r="G73" s="3"/>
      <c r="J73" s="3" t="b">
        <f t="shared" si="2"/>
        <v>0</v>
      </c>
    </row>
    <row r="74" spans="1:10">
      <c r="A74" s="8">
        <f t="shared" si="3"/>
        <v>73</v>
      </c>
      <c r="D74" s="6" t="str">
        <f>IF(NOT(ISNA(VLOOKUP(C74,RequestEmail[],2,FALSE))),VLOOKUP(C74,RequestEmail[],2,FALSE),"")</f>
        <v/>
      </c>
      <c r="G74" s="3"/>
      <c r="J74" s="3" t="b">
        <f t="shared" si="2"/>
        <v>0</v>
      </c>
    </row>
    <row r="75" spans="1:10">
      <c r="A75" s="8">
        <f t="shared" si="3"/>
        <v>74</v>
      </c>
      <c r="D75" s="6" t="str">
        <f>IF(NOT(ISNA(VLOOKUP(C75,RequestEmail[],2,FALSE))),VLOOKUP(C75,RequestEmail[],2,FALSE),"")</f>
        <v/>
      </c>
      <c r="G75" s="3"/>
      <c r="J75" s="3" t="b">
        <f t="shared" si="2"/>
        <v>0</v>
      </c>
    </row>
    <row r="76" spans="1:10">
      <c r="A76" s="8">
        <f t="shared" si="3"/>
        <v>75</v>
      </c>
      <c r="D76" s="6" t="str">
        <f>IF(NOT(ISNA(VLOOKUP(C76,RequestEmail[],2,FALSE))),VLOOKUP(C76,RequestEmail[],2,FALSE),"")</f>
        <v/>
      </c>
      <c r="G76" s="3"/>
      <c r="J76" s="3" t="b">
        <f t="shared" si="2"/>
        <v>0</v>
      </c>
    </row>
    <row r="77" spans="1:10">
      <c r="A77" s="8">
        <f t="shared" si="3"/>
        <v>76</v>
      </c>
      <c r="D77" s="6" t="str">
        <f>IF(NOT(ISNA(VLOOKUP(C77,RequestEmail[],2,FALSE))),VLOOKUP(C77,RequestEmail[],2,FALSE),"")</f>
        <v/>
      </c>
      <c r="G77" s="3"/>
      <c r="J77" s="3" t="b">
        <f t="shared" si="2"/>
        <v>0</v>
      </c>
    </row>
    <row r="78" spans="1:10">
      <c r="A78" s="8">
        <f t="shared" si="3"/>
        <v>77</v>
      </c>
      <c r="D78" s="6" t="str">
        <f>IF(NOT(ISNA(VLOOKUP(C78,RequestEmail[],2,FALSE))),VLOOKUP(C78,RequestEmail[],2,FALSE),"")</f>
        <v/>
      </c>
      <c r="G78" s="3"/>
      <c r="J78" s="3" t="b">
        <f t="shared" si="2"/>
        <v>0</v>
      </c>
    </row>
    <row r="79" spans="1:10">
      <c r="A79" s="8">
        <f t="shared" si="3"/>
        <v>78</v>
      </c>
      <c r="D79" s="6" t="str">
        <f>IF(NOT(ISNA(VLOOKUP(C79,RequestEmail[],2,FALSE))),VLOOKUP(C79,RequestEmail[],2,FALSE),"")</f>
        <v/>
      </c>
      <c r="G79" s="3"/>
      <c r="J79" s="3" t="b">
        <f t="shared" si="2"/>
        <v>0</v>
      </c>
    </row>
    <row r="80" spans="1:10">
      <c r="A80" s="8">
        <f t="shared" si="3"/>
        <v>79</v>
      </c>
      <c r="D80" s="6" t="str">
        <f>IF(NOT(ISNA(VLOOKUP(C80,RequestEmail[],2,FALSE))),VLOOKUP(C80,RequestEmail[],2,FALSE),"")</f>
        <v/>
      </c>
      <c r="G80" s="3"/>
      <c r="J80" s="3" t="b">
        <f t="shared" si="2"/>
        <v>0</v>
      </c>
    </row>
    <row r="81" spans="1:10">
      <c r="A81" s="8">
        <f t="shared" si="3"/>
        <v>80</v>
      </c>
      <c r="D81" s="6" t="str">
        <f>IF(NOT(ISNA(VLOOKUP(C81,RequestEmail[],2,FALSE))),VLOOKUP(C81,RequestEmail[],2,FALSE),"")</f>
        <v/>
      </c>
      <c r="G81" s="3"/>
      <c r="J81" s="3" t="b">
        <f t="shared" si="2"/>
        <v>0</v>
      </c>
    </row>
    <row r="82" spans="1:10">
      <c r="A82" s="8">
        <f t="shared" si="3"/>
        <v>81</v>
      </c>
      <c r="D82" s="6" t="str">
        <f>IF(NOT(ISNA(VLOOKUP(C82,RequestEmail[],2,FALSE))),VLOOKUP(C82,RequestEmail[],2,FALSE),"")</f>
        <v/>
      </c>
      <c r="G82" s="3"/>
      <c r="J82" s="3" t="b">
        <f t="shared" si="2"/>
        <v>0</v>
      </c>
    </row>
    <row r="83" spans="1:10">
      <c r="A83" s="8">
        <f t="shared" si="3"/>
        <v>82</v>
      </c>
      <c r="D83" s="6" t="str">
        <f>IF(NOT(ISNA(VLOOKUP(C83,RequestEmail[],2,FALSE))),VLOOKUP(C83,RequestEmail[],2,FALSE),"")</f>
        <v/>
      </c>
      <c r="G83" s="3"/>
      <c r="J83" s="3" t="b">
        <f t="shared" si="2"/>
        <v>0</v>
      </c>
    </row>
    <row r="84" spans="1:10">
      <c r="A84" s="8">
        <f t="shared" si="3"/>
        <v>83</v>
      </c>
      <c r="D84" s="6" t="str">
        <f>IF(NOT(ISNA(VLOOKUP(C84,RequestEmail[],2,FALSE))),VLOOKUP(C84,RequestEmail[],2,FALSE),"")</f>
        <v/>
      </c>
      <c r="G84" s="3"/>
      <c r="J84" s="3" t="b">
        <f t="shared" si="2"/>
        <v>0</v>
      </c>
    </row>
    <row r="85" spans="1:10">
      <c r="A85" s="8">
        <f t="shared" si="3"/>
        <v>84</v>
      </c>
      <c r="D85" s="6" t="str">
        <f>IF(NOT(ISNA(VLOOKUP(C85,RequestEmail[],2,FALSE))),VLOOKUP(C85,RequestEmail[],2,FALSE),"")</f>
        <v/>
      </c>
      <c r="G85" s="3"/>
      <c r="J85" s="3" t="b">
        <f t="shared" si="2"/>
        <v>0</v>
      </c>
    </row>
    <row r="86" spans="1:10">
      <c r="A86" s="8">
        <f t="shared" si="3"/>
        <v>85</v>
      </c>
      <c r="D86" s="6" t="str">
        <f>IF(NOT(ISNA(VLOOKUP(C86,RequestEmail[],2,FALSE))),VLOOKUP(C86,RequestEmail[],2,FALSE),"")</f>
        <v/>
      </c>
      <c r="G86" s="3"/>
      <c r="J86" s="3" t="b">
        <f t="shared" si="2"/>
        <v>0</v>
      </c>
    </row>
    <row r="87" spans="1:10">
      <c r="A87" s="8">
        <f t="shared" si="3"/>
        <v>86</v>
      </c>
      <c r="D87" s="6" t="str">
        <f>IF(NOT(ISNA(VLOOKUP(C87,RequestEmail[],2,FALSE))),VLOOKUP(C87,RequestEmail[],2,FALSE),"")</f>
        <v/>
      </c>
      <c r="G87" s="3"/>
      <c r="J87" s="3" t="b">
        <f t="shared" si="2"/>
        <v>0</v>
      </c>
    </row>
    <row r="88" spans="1:10">
      <c r="A88" s="8">
        <f t="shared" si="3"/>
        <v>87</v>
      </c>
      <c r="D88" s="6" t="str">
        <f>IF(NOT(ISNA(VLOOKUP(C88,RequestEmail[],2,FALSE))),VLOOKUP(C88,RequestEmail[],2,FALSE),"")</f>
        <v/>
      </c>
      <c r="G88" s="3"/>
      <c r="J88" s="3" t="b">
        <f t="shared" si="2"/>
        <v>0</v>
      </c>
    </row>
    <row r="89" spans="1:10">
      <c r="A89" s="8">
        <f t="shared" si="3"/>
        <v>88</v>
      </c>
      <c r="D89" s="6" t="str">
        <f>IF(NOT(ISNA(VLOOKUP(C89,RequestEmail[],2,FALSE))),VLOOKUP(C89,RequestEmail[],2,FALSE),"")</f>
        <v/>
      </c>
      <c r="G89" s="3"/>
      <c r="J89" s="3" t="b">
        <f t="shared" si="2"/>
        <v>0</v>
      </c>
    </row>
    <row r="90" spans="1:10">
      <c r="A90" s="8">
        <f t="shared" si="3"/>
        <v>89</v>
      </c>
      <c r="D90" s="6" t="str">
        <f>IF(NOT(ISNA(VLOOKUP(C90,RequestEmail[],2,FALSE))),VLOOKUP(C90,RequestEmail[],2,FALSE),"")</f>
        <v/>
      </c>
      <c r="G90" s="3"/>
      <c r="J90" s="3" t="b">
        <f t="shared" si="2"/>
        <v>0</v>
      </c>
    </row>
    <row r="91" spans="1:10">
      <c r="A91" s="8">
        <f t="shared" si="3"/>
        <v>90</v>
      </c>
      <c r="D91" s="6" t="str">
        <f>IF(NOT(ISNA(VLOOKUP(C91,RequestEmail[],2,FALSE))),VLOOKUP(C91,RequestEmail[],2,FALSE),"")</f>
        <v/>
      </c>
      <c r="G91" s="3"/>
      <c r="J91" s="3" t="b">
        <f t="shared" si="2"/>
        <v>0</v>
      </c>
    </row>
    <row r="92" spans="1:10">
      <c r="A92" s="8">
        <f t="shared" si="3"/>
        <v>91</v>
      </c>
      <c r="D92" s="6" t="str">
        <f>IF(NOT(ISNA(VLOOKUP(C92,RequestEmail[],2,FALSE))),VLOOKUP(C92,RequestEmail[],2,FALSE),"")</f>
        <v/>
      </c>
      <c r="G92" s="3"/>
      <c r="J92" s="3" t="b">
        <f t="shared" si="2"/>
        <v>0</v>
      </c>
    </row>
    <row r="93" spans="1:10">
      <c r="A93" s="8">
        <f t="shared" si="3"/>
        <v>92</v>
      </c>
      <c r="D93" s="6" t="str">
        <f>IF(NOT(ISNA(VLOOKUP(C93,RequestEmail[],2,FALSE))),VLOOKUP(C93,RequestEmail[],2,FALSE),"")</f>
        <v/>
      </c>
      <c r="G93" s="3"/>
      <c r="J93" s="3" t="b">
        <f t="shared" si="2"/>
        <v>0</v>
      </c>
    </row>
    <row r="94" spans="1:10">
      <c r="A94" s="8">
        <f t="shared" si="3"/>
        <v>93</v>
      </c>
      <c r="D94" s="6" t="str">
        <f>IF(NOT(ISNA(VLOOKUP(C94,RequestEmail[],2,FALSE))),VLOOKUP(C94,RequestEmail[],2,FALSE),"")</f>
        <v/>
      </c>
      <c r="G94" s="3"/>
      <c r="J94" s="3" t="b">
        <f t="shared" si="2"/>
        <v>0</v>
      </c>
    </row>
    <row r="95" spans="1:10">
      <c r="A95" s="8">
        <f t="shared" si="3"/>
        <v>94</v>
      </c>
      <c r="D95" s="6" t="str">
        <f>IF(NOT(ISNA(VLOOKUP(C95,RequestEmail[],2,FALSE))),VLOOKUP(C95,RequestEmail[],2,FALSE),"")</f>
        <v/>
      </c>
      <c r="G95" s="3"/>
      <c r="J95" s="3" t="b">
        <f t="shared" si="2"/>
        <v>0</v>
      </c>
    </row>
    <row r="96" spans="1:10">
      <c r="A96" s="8">
        <f t="shared" si="3"/>
        <v>95</v>
      </c>
      <c r="D96" s="6" t="str">
        <f>IF(NOT(ISNA(VLOOKUP(C96,RequestEmail[],2,FALSE))),VLOOKUP(C96,RequestEmail[],2,FALSE),"")</f>
        <v/>
      </c>
      <c r="G96" s="3"/>
      <c r="J96" s="3" t="b">
        <f t="shared" si="2"/>
        <v>0</v>
      </c>
    </row>
    <row r="97" spans="1:10">
      <c r="A97" s="8">
        <f t="shared" si="3"/>
        <v>96</v>
      </c>
      <c r="D97" s="6" t="str">
        <f>IF(NOT(ISNA(VLOOKUP(C97,RequestEmail[],2,FALSE))),VLOOKUP(C97,RequestEmail[],2,FALSE),"")</f>
        <v/>
      </c>
      <c r="G97" s="3"/>
      <c r="J97" s="3" t="b">
        <f t="shared" si="2"/>
        <v>0</v>
      </c>
    </row>
    <row r="98" spans="1:10">
      <c r="A98" s="8">
        <f t="shared" si="3"/>
        <v>97</v>
      </c>
      <c r="D98" s="6" t="str">
        <f>IF(NOT(ISNA(VLOOKUP(C98,RequestEmail[],2,FALSE))),VLOOKUP(C98,RequestEmail[],2,FALSE),"")</f>
        <v/>
      </c>
      <c r="G98" s="3"/>
      <c r="J98" s="3" t="b">
        <f t="shared" si="2"/>
        <v>0</v>
      </c>
    </row>
    <row r="99" spans="1:10">
      <c r="A99" s="8">
        <f t="shared" si="3"/>
        <v>98</v>
      </c>
      <c r="D99" s="6" t="str">
        <f>IF(NOT(ISNA(VLOOKUP(C99,RequestEmail[],2,FALSE))),VLOOKUP(C99,RequestEmail[],2,FALSE),"")</f>
        <v/>
      </c>
      <c r="G99" s="3"/>
      <c r="J99" s="3" t="b">
        <f t="shared" si="2"/>
        <v>0</v>
      </c>
    </row>
    <row r="100" spans="1:10">
      <c r="A100" s="8">
        <f t="shared" si="3"/>
        <v>99</v>
      </c>
      <c r="D100" s="6" t="str">
        <f>IF(NOT(ISNA(VLOOKUP(C100,RequestEmail[],2,FALSE))),VLOOKUP(C100,RequestEmail[],2,FALSE),"")</f>
        <v/>
      </c>
      <c r="G100" s="3"/>
      <c r="J100" s="3" t="b">
        <f t="shared" si="2"/>
        <v>0</v>
      </c>
    </row>
    <row r="101" spans="1:10">
      <c r="A101" s="8">
        <f t="shared" si="3"/>
        <v>100</v>
      </c>
      <c r="D101" s="6" t="str">
        <f>IF(NOT(ISNA(VLOOKUP(C101,RequestEmail[],2,FALSE))),VLOOKUP(C101,RequestEmail[],2,FALSE),"")</f>
        <v/>
      </c>
      <c r="G101" s="3"/>
      <c r="J101" s="3" t="b">
        <f t="shared" si="2"/>
        <v>0</v>
      </c>
    </row>
    <row r="102" spans="1:10">
      <c r="A102" s="8">
        <f t="shared" si="3"/>
        <v>101</v>
      </c>
      <c r="D102" s="6" t="str">
        <f>IF(NOT(ISNA(VLOOKUP(C102,RequestEmail[],2,FALSE))),VLOOKUP(C102,RequestEmail[],2,FALSE),"")</f>
        <v/>
      </c>
      <c r="G102" s="3"/>
      <c r="J102" s="3" t="b">
        <f t="shared" si="2"/>
        <v>0</v>
      </c>
    </row>
    <row r="103" spans="1:10">
      <c r="A103" s="8">
        <f t="shared" si="3"/>
        <v>102</v>
      </c>
      <c r="D103" s="6" t="str">
        <f>IF(NOT(ISNA(VLOOKUP(C103,RequestEmail[],2,FALSE))),VLOOKUP(C103,RequestEmail[],2,FALSE),"")</f>
        <v/>
      </c>
      <c r="G103" s="3"/>
      <c r="J103" s="3" t="b">
        <f t="shared" si="2"/>
        <v>0</v>
      </c>
    </row>
    <row r="104" spans="1:10">
      <c r="A104" s="8">
        <f t="shared" si="3"/>
        <v>103</v>
      </c>
      <c r="D104" s="6" t="str">
        <f>IF(NOT(ISNA(VLOOKUP(C104,RequestEmail[],2,FALSE))),VLOOKUP(C104,RequestEmail[],2,FALSE),"")</f>
        <v/>
      </c>
      <c r="G104" s="3"/>
      <c r="J104" s="3" t="b">
        <f t="shared" si="2"/>
        <v>0</v>
      </c>
    </row>
    <row r="105" spans="1:10">
      <c r="A105" s="8">
        <f t="shared" si="3"/>
        <v>104</v>
      </c>
      <c r="D105" s="6" t="str">
        <f>IF(NOT(ISNA(VLOOKUP(C105,RequestEmail[],2,FALSE))),VLOOKUP(C105,RequestEmail[],2,FALSE),"")</f>
        <v/>
      </c>
      <c r="G105" s="3"/>
      <c r="J105" s="3" t="b">
        <f t="shared" si="2"/>
        <v>0</v>
      </c>
    </row>
    <row r="106" spans="1:10">
      <c r="A106" s="8">
        <f t="shared" si="3"/>
        <v>105</v>
      </c>
      <c r="D106" s="6" t="str">
        <f>IF(NOT(ISNA(VLOOKUP(C106,RequestEmail[],2,FALSE))),VLOOKUP(C106,RequestEmail[],2,FALSE),"")</f>
        <v/>
      </c>
      <c r="G106" s="3"/>
      <c r="J106" s="3" t="b">
        <f t="shared" si="2"/>
        <v>0</v>
      </c>
    </row>
    <row r="107" spans="1:10">
      <c r="A107" s="8">
        <f t="shared" si="3"/>
        <v>106</v>
      </c>
      <c r="D107" s="6" t="str">
        <f>IF(NOT(ISNA(VLOOKUP(C107,RequestEmail[],2,FALSE))),VLOOKUP(C107,RequestEmail[],2,FALSE),"")</f>
        <v/>
      </c>
      <c r="G107" s="3"/>
      <c r="J107" s="3" t="b">
        <f t="shared" si="2"/>
        <v>0</v>
      </c>
    </row>
    <row r="108" spans="1:10">
      <c r="A108" s="8">
        <f t="shared" si="3"/>
        <v>107</v>
      </c>
      <c r="D108" s="6" t="str">
        <f>IF(NOT(ISNA(VLOOKUP(C108,RequestEmail[],2,FALSE))),VLOOKUP(C108,RequestEmail[],2,FALSE),"")</f>
        <v/>
      </c>
      <c r="G108" s="3"/>
      <c r="J108" s="3" t="b">
        <f t="shared" si="2"/>
        <v>0</v>
      </c>
    </row>
    <row r="109" spans="1:10">
      <c r="A109" s="8">
        <f t="shared" si="3"/>
        <v>108</v>
      </c>
      <c r="D109" s="6" t="str">
        <f>IF(NOT(ISNA(VLOOKUP(C109,RequestEmail[],2,FALSE))),VLOOKUP(C109,RequestEmail[],2,FALSE),"")</f>
        <v/>
      </c>
      <c r="G109" s="3"/>
      <c r="J109" s="3" t="b">
        <f t="shared" si="2"/>
        <v>0</v>
      </c>
    </row>
    <row r="110" spans="1:10">
      <c r="A110" s="8">
        <f t="shared" si="3"/>
        <v>109</v>
      </c>
      <c r="D110" s="6" t="str">
        <f>IF(NOT(ISNA(VLOOKUP(C110,RequestEmail[],2,FALSE))),VLOOKUP(C110,RequestEmail[],2,FALSE),"")</f>
        <v/>
      </c>
      <c r="G110" s="3"/>
      <c r="J110" s="3" t="b">
        <f t="shared" si="2"/>
        <v>0</v>
      </c>
    </row>
    <row r="111" spans="1:10">
      <c r="A111" s="8">
        <f t="shared" si="3"/>
        <v>110</v>
      </c>
      <c r="D111" s="6" t="str">
        <f>IF(NOT(ISNA(VLOOKUP(C111,RequestEmail[],2,FALSE))),VLOOKUP(C111,RequestEmail[],2,FALSE),"")</f>
        <v/>
      </c>
      <c r="G111" s="3"/>
      <c r="J111" s="3" t="b">
        <f t="shared" si="2"/>
        <v>0</v>
      </c>
    </row>
    <row r="112" spans="1:10">
      <c r="A112" s="8">
        <f t="shared" si="3"/>
        <v>111</v>
      </c>
      <c r="D112" s="6" t="str">
        <f>IF(NOT(ISNA(VLOOKUP(C112,RequestEmail[],2,FALSE))),VLOOKUP(C112,RequestEmail[],2,FALSE),"")</f>
        <v/>
      </c>
      <c r="G112" s="3"/>
      <c r="J112" s="3" t="b">
        <f t="shared" si="2"/>
        <v>0</v>
      </c>
    </row>
    <row r="113" spans="1:10">
      <c r="A113" s="8">
        <f t="shared" si="3"/>
        <v>112</v>
      </c>
      <c r="D113" s="6" t="str">
        <f>IF(NOT(ISNA(VLOOKUP(C113,RequestEmail[],2,FALSE))),VLOOKUP(C113,RequestEmail[],2,FALSE),"")</f>
        <v/>
      </c>
      <c r="G113" s="3"/>
      <c r="J113" s="3" t="b">
        <f t="shared" si="2"/>
        <v>0</v>
      </c>
    </row>
    <row r="114" spans="1:10">
      <c r="A114" s="8">
        <f t="shared" si="3"/>
        <v>113</v>
      </c>
      <c r="D114" s="6" t="str">
        <f>IF(NOT(ISNA(VLOOKUP(C114,RequestEmail[],2,FALSE))),VLOOKUP(C114,RequestEmail[],2,FALSE),"")</f>
        <v/>
      </c>
      <c r="G114" s="3"/>
      <c r="J114" s="3" t="b">
        <f t="shared" si="2"/>
        <v>0</v>
      </c>
    </row>
    <row r="115" spans="1:10">
      <c r="A115" s="8">
        <f t="shared" si="3"/>
        <v>114</v>
      </c>
      <c r="D115" s="6" t="str">
        <f>IF(NOT(ISNA(VLOOKUP(C115,RequestEmail[],2,FALSE))),VLOOKUP(C115,RequestEmail[],2,FALSE),"")</f>
        <v/>
      </c>
      <c r="G115" s="3"/>
      <c r="J115" s="3" t="b">
        <f t="shared" si="2"/>
        <v>0</v>
      </c>
    </row>
    <row r="116" spans="1:10">
      <c r="A116" s="8">
        <f t="shared" si="3"/>
        <v>115</v>
      </c>
      <c r="D116" s="6" t="str">
        <f>IF(NOT(ISNA(VLOOKUP(C116,RequestEmail[],2,FALSE))),VLOOKUP(C116,RequestEmail[],2,FALSE),"")</f>
        <v/>
      </c>
      <c r="G116" s="3"/>
      <c r="J116" s="3" t="b">
        <f t="shared" si="2"/>
        <v>0</v>
      </c>
    </row>
    <row r="117" spans="1:10">
      <c r="A117" s="8">
        <f t="shared" si="3"/>
        <v>116</v>
      </c>
      <c r="D117" s="6" t="str">
        <f>IF(NOT(ISNA(VLOOKUP(C117,RequestEmail[],2,FALSE))),VLOOKUP(C117,RequestEmail[],2,FALSE),"")</f>
        <v/>
      </c>
      <c r="G117" s="3"/>
      <c r="J117" s="3" t="b">
        <f t="shared" si="2"/>
        <v>0</v>
      </c>
    </row>
    <row r="118" spans="1:10">
      <c r="A118" s="8">
        <f t="shared" si="3"/>
        <v>117</v>
      </c>
      <c r="D118" s="6" t="str">
        <f>IF(NOT(ISNA(VLOOKUP(C118,RequestEmail[],2,FALSE))),VLOOKUP(C118,RequestEmail[],2,FALSE),"")</f>
        <v/>
      </c>
      <c r="G118" s="3"/>
      <c r="J118" s="3" t="b">
        <f t="shared" si="2"/>
        <v>0</v>
      </c>
    </row>
    <row r="119" spans="1:10">
      <c r="A119" s="8">
        <f t="shared" si="3"/>
        <v>118</v>
      </c>
      <c r="D119" s="6" t="str">
        <f>IF(NOT(ISNA(VLOOKUP(C119,RequestEmail[],2,FALSE))),VLOOKUP(C119,RequestEmail[],2,FALSE),"")</f>
        <v/>
      </c>
      <c r="G119" s="3"/>
      <c r="J119" s="3" t="b">
        <f t="shared" si="2"/>
        <v>0</v>
      </c>
    </row>
    <row r="120" spans="1:10">
      <c r="A120" s="8">
        <f t="shared" si="3"/>
        <v>119</v>
      </c>
      <c r="D120" s="6" t="str">
        <f>IF(NOT(ISNA(VLOOKUP(C120,RequestEmail[],2,FALSE))),VLOOKUP(C120,RequestEmail[],2,FALSE),"")</f>
        <v/>
      </c>
      <c r="G120" s="3"/>
      <c r="J120" s="3" t="b">
        <f t="shared" si="2"/>
        <v>0</v>
      </c>
    </row>
    <row r="121" spans="1:10">
      <c r="A121" s="8">
        <f t="shared" si="3"/>
        <v>120</v>
      </c>
      <c r="D121" s="6" t="str">
        <f>IF(NOT(ISNA(VLOOKUP(C121,RequestEmail[],2,FALSE))),VLOOKUP(C121,RequestEmail[],2,FALSE),"")</f>
        <v/>
      </c>
      <c r="G121" s="3"/>
      <c r="J121" s="3" t="b">
        <f t="shared" si="2"/>
        <v>0</v>
      </c>
    </row>
    <row r="122" spans="1:10">
      <c r="A122" s="8">
        <f t="shared" si="3"/>
        <v>121</v>
      </c>
      <c r="D122" s="6" t="str">
        <f>IF(NOT(ISNA(VLOOKUP(C122,RequestEmail[],2,FALSE))),VLOOKUP(C122,RequestEmail[],2,FALSE),"")</f>
        <v/>
      </c>
      <c r="G122" s="3"/>
      <c r="J122" s="3" t="b">
        <f t="shared" si="2"/>
        <v>0</v>
      </c>
    </row>
    <row r="123" spans="1:10">
      <c r="A123" s="8">
        <f t="shared" si="3"/>
        <v>122</v>
      </c>
      <c r="D123" s="6" t="str">
        <f>IF(NOT(ISNA(VLOOKUP(C123,RequestEmail[],2,FALSE))),VLOOKUP(C123,RequestEmail[],2,FALSE),"")</f>
        <v/>
      </c>
      <c r="G123" s="3"/>
      <c r="J123" s="3" t="b">
        <f t="shared" si="2"/>
        <v>0</v>
      </c>
    </row>
    <row r="124" spans="1:10">
      <c r="A124" s="8">
        <f t="shared" si="3"/>
        <v>123</v>
      </c>
      <c r="D124" s="6" t="str">
        <f>IF(NOT(ISNA(VLOOKUP(C124,RequestEmail[],2,FALSE))),VLOOKUP(C124,RequestEmail[],2,FALSE),"")</f>
        <v/>
      </c>
      <c r="G124" s="3"/>
      <c r="J124" s="3" t="b">
        <f t="shared" si="2"/>
        <v>0</v>
      </c>
    </row>
    <row r="125" spans="1:10">
      <c r="A125" s="8">
        <f t="shared" si="3"/>
        <v>124</v>
      </c>
      <c r="D125" s="6" t="str">
        <f>IF(NOT(ISNA(VLOOKUP(C125,RequestEmail[],2,FALSE))),VLOOKUP(C125,RequestEmail[],2,FALSE),"")</f>
        <v/>
      </c>
      <c r="G125" s="3"/>
      <c r="J125" s="3" t="b">
        <f t="shared" si="2"/>
        <v>0</v>
      </c>
    </row>
    <row r="126" spans="1:10">
      <c r="A126" s="8">
        <f t="shared" si="3"/>
        <v>125</v>
      </c>
      <c r="D126" s="6" t="str">
        <f>IF(NOT(ISNA(VLOOKUP(C126,RequestEmail[],2,FALSE))),VLOOKUP(C126,RequestEmail[],2,FALSE),"")</f>
        <v/>
      </c>
      <c r="G126" s="3"/>
      <c r="J126" s="3" t="b">
        <f t="shared" si="2"/>
        <v>0</v>
      </c>
    </row>
    <row r="127" spans="1:10">
      <c r="A127" s="8">
        <f t="shared" si="3"/>
        <v>126</v>
      </c>
      <c r="D127" s="6" t="str">
        <f>IF(NOT(ISNA(VLOOKUP(C127,RequestEmail[],2,FALSE))),VLOOKUP(C127,RequestEmail[],2,FALSE),"")</f>
        <v/>
      </c>
      <c r="G127" s="3"/>
      <c r="J127" s="3" t="b">
        <f t="shared" si="2"/>
        <v>0</v>
      </c>
    </row>
    <row r="128" spans="1:10">
      <c r="A128" s="8">
        <f t="shared" si="3"/>
        <v>127</v>
      </c>
      <c r="D128" s="6" t="str">
        <f>IF(NOT(ISNA(VLOOKUP(C128,RequestEmail[],2,FALSE))),VLOOKUP(C128,RequestEmail[],2,FALSE),"")</f>
        <v/>
      </c>
      <c r="G128" s="3"/>
      <c r="J128" s="3" t="b">
        <f t="shared" si="2"/>
        <v>0</v>
      </c>
    </row>
    <row r="129" spans="1:10">
      <c r="A129" s="8">
        <f t="shared" si="3"/>
        <v>128</v>
      </c>
      <c r="D129" s="6" t="str">
        <f>IF(NOT(ISNA(VLOOKUP(C129,RequestEmail[],2,FALSE))),VLOOKUP(C129,RequestEmail[],2,FALSE),"")</f>
        <v/>
      </c>
      <c r="G129" s="3"/>
      <c r="J129" s="3" t="b">
        <f t="shared" si="2"/>
        <v>0</v>
      </c>
    </row>
    <row r="130" spans="1:10">
      <c r="A130" s="8">
        <f t="shared" si="3"/>
        <v>129</v>
      </c>
      <c r="D130" s="6" t="str">
        <f>IF(NOT(ISNA(VLOOKUP(C130,RequestEmail[],2,FALSE))),VLOOKUP(C130,RequestEmail[],2,FALSE),"")</f>
        <v/>
      </c>
      <c r="G130" s="3"/>
      <c r="J130" s="3" t="b">
        <f t="shared" si="2"/>
        <v>0</v>
      </c>
    </row>
    <row r="131" spans="1:10">
      <c r="A131" s="8">
        <f t="shared" si="3"/>
        <v>130</v>
      </c>
      <c r="D131" s="6" t="str">
        <f>IF(NOT(ISNA(VLOOKUP(C131,RequestEmail[],2,FALSE))),VLOOKUP(C131,RequestEmail[],2,FALSE),"")</f>
        <v/>
      </c>
      <c r="G131" s="3"/>
      <c r="J131" s="3" t="b">
        <f t="shared" ref="J131:J152" si="4">AND(B131&lt;&gt;"",C131&lt;&gt;"",E131&lt;&gt;"")</f>
        <v>0</v>
      </c>
    </row>
    <row r="132" spans="1:10">
      <c r="A132" s="8">
        <f t="shared" ref="A132:A152" si="5">ROW(A131)</f>
        <v>131</v>
      </c>
      <c r="D132" s="6" t="str">
        <f>IF(NOT(ISNA(VLOOKUP(C132,RequestEmail[],2,FALSE))),VLOOKUP(C132,RequestEmail[],2,FALSE),"")</f>
        <v/>
      </c>
      <c r="G132" s="3"/>
      <c r="J132" s="3" t="b">
        <f t="shared" si="4"/>
        <v>0</v>
      </c>
    </row>
    <row r="133" spans="1:10">
      <c r="A133" s="8">
        <f t="shared" si="5"/>
        <v>132</v>
      </c>
      <c r="D133" s="6" t="str">
        <f>IF(NOT(ISNA(VLOOKUP(C133,RequestEmail[],2,FALSE))),VLOOKUP(C133,RequestEmail[],2,FALSE),"")</f>
        <v/>
      </c>
      <c r="G133" s="3"/>
      <c r="J133" s="3" t="b">
        <f t="shared" si="4"/>
        <v>0</v>
      </c>
    </row>
    <row r="134" spans="1:10">
      <c r="A134" s="8">
        <f t="shared" si="5"/>
        <v>133</v>
      </c>
      <c r="D134" s="6" t="str">
        <f>IF(NOT(ISNA(VLOOKUP(C134,RequestEmail[],2,FALSE))),VLOOKUP(C134,RequestEmail[],2,FALSE),"")</f>
        <v/>
      </c>
      <c r="G134" s="3"/>
      <c r="J134" s="3" t="b">
        <f t="shared" si="4"/>
        <v>0</v>
      </c>
    </row>
    <row r="135" spans="1:10">
      <c r="A135" s="8">
        <f t="shared" si="5"/>
        <v>134</v>
      </c>
      <c r="D135" s="6" t="str">
        <f>IF(NOT(ISNA(VLOOKUP(C135,RequestEmail[],2,FALSE))),VLOOKUP(C135,RequestEmail[],2,FALSE),"")</f>
        <v/>
      </c>
      <c r="G135" s="3"/>
      <c r="J135" s="3" t="b">
        <f t="shared" si="4"/>
        <v>0</v>
      </c>
    </row>
    <row r="136" spans="1:10">
      <c r="A136" s="8">
        <f t="shared" si="5"/>
        <v>135</v>
      </c>
      <c r="D136" s="6" t="str">
        <f>IF(NOT(ISNA(VLOOKUP(C136,RequestEmail[],2,FALSE))),VLOOKUP(C136,RequestEmail[],2,FALSE),"")</f>
        <v/>
      </c>
      <c r="G136" s="3"/>
      <c r="J136" s="3" t="b">
        <f t="shared" si="4"/>
        <v>0</v>
      </c>
    </row>
    <row r="137" spans="1:10">
      <c r="A137" s="8">
        <f t="shared" si="5"/>
        <v>136</v>
      </c>
      <c r="D137" s="6" t="str">
        <f>IF(NOT(ISNA(VLOOKUP(C137,RequestEmail[],2,FALSE))),VLOOKUP(C137,RequestEmail[],2,FALSE),"")</f>
        <v/>
      </c>
      <c r="G137" s="3"/>
      <c r="J137" s="3" t="b">
        <f t="shared" si="4"/>
        <v>0</v>
      </c>
    </row>
    <row r="138" spans="1:10">
      <c r="A138" s="8">
        <f t="shared" si="5"/>
        <v>137</v>
      </c>
      <c r="D138" s="6" t="str">
        <f>IF(NOT(ISNA(VLOOKUP(C138,RequestEmail[],2,FALSE))),VLOOKUP(C138,RequestEmail[],2,FALSE),"")</f>
        <v/>
      </c>
      <c r="G138" s="3"/>
      <c r="J138" s="3" t="b">
        <f t="shared" si="4"/>
        <v>0</v>
      </c>
    </row>
    <row r="139" spans="1:10">
      <c r="A139" s="8">
        <f t="shared" si="5"/>
        <v>138</v>
      </c>
      <c r="D139" s="6" t="str">
        <f>IF(NOT(ISNA(VLOOKUP(C139,RequestEmail[],2,FALSE))),VLOOKUP(C139,RequestEmail[],2,FALSE),"")</f>
        <v/>
      </c>
      <c r="G139" s="3"/>
      <c r="J139" s="3" t="b">
        <f t="shared" si="4"/>
        <v>0</v>
      </c>
    </row>
    <row r="140" spans="1:10">
      <c r="A140" s="8">
        <f t="shared" si="5"/>
        <v>139</v>
      </c>
      <c r="D140" s="6" t="str">
        <f>IF(NOT(ISNA(VLOOKUP(C140,RequestEmail[],2,FALSE))),VLOOKUP(C140,RequestEmail[],2,FALSE),"")</f>
        <v/>
      </c>
      <c r="G140" s="3"/>
      <c r="J140" s="3" t="b">
        <f t="shared" si="4"/>
        <v>0</v>
      </c>
    </row>
    <row r="141" spans="1:10">
      <c r="A141" s="8">
        <f t="shared" si="5"/>
        <v>140</v>
      </c>
      <c r="D141" s="6" t="str">
        <f>IF(NOT(ISNA(VLOOKUP(C141,RequestEmail[],2,FALSE))),VLOOKUP(C141,RequestEmail[],2,FALSE),"")</f>
        <v/>
      </c>
      <c r="G141" s="3"/>
      <c r="J141" s="3" t="b">
        <f t="shared" si="4"/>
        <v>0</v>
      </c>
    </row>
    <row r="142" spans="1:10">
      <c r="A142" s="8">
        <f t="shared" si="5"/>
        <v>141</v>
      </c>
      <c r="D142" s="6" t="str">
        <f>IF(NOT(ISNA(VLOOKUP(C142,RequestEmail[],2,FALSE))),VLOOKUP(C142,RequestEmail[],2,FALSE),"")</f>
        <v/>
      </c>
      <c r="G142" s="3"/>
      <c r="J142" s="3" t="b">
        <f t="shared" si="4"/>
        <v>0</v>
      </c>
    </row>
    <row r="143" spans="1:10">
      <c r="A143" s="8">
        <f t="shared" si="5"/>
        <v>142</v>
      </c>
      <c r="D143" s="6" t="str">
        <f>IF(NOT(ISNA(VLOOKUP(C143,RequestEmail[],2,FALSE))),VLOOKUP(C143,RequestEmail[],2,FALSE),"")</f>
        <v/>
      </c>
      <c r="G143" s="3"/>
      <c r="J143" s="3" t="b">
        <f t="shared" si="4"/>
        <v>0</v>
      </c>
    </row>
    <row r="144" spans="1:10">
      <c r="A144" s="8">
        <f t="shared" si="5"/>
        <v>143</v>
      </c>
      <c r="D144" s="6" t="str">
        <f>IF(NOT(ISNA(VLOOKUP(C144,RequestEmail[],2,FALSE))),VLOOKUP(C144,RequestEmail[],2,FALSE),"")</f>
        <v/>
      </c>
      <c r="G144" s="3"/>
      <c r="J144" s="3" t="b">
        <f t="shared" si="4"/>
        <v>0</v>
      </c>
    </row>
    <row r="145" spans="1:10">
      <c r="A145" s="8">
        <f t="shared" si="5"/>
        <v>144</v>
      </c>
      <c r="D145" s="6" t="str">
        <f>IF(NOT(ISNA(VLOOKUP(C145,RequestEmail[],2,FALSE))),VLOOKUP(C145,RequestEmail[],2,FALSE),"")</f>
        <v/>
      </c>
      <c r="G145" s="3"/>
      <c r="J145" s="3" t="b">
        <f t="shared" si="4"/>
        <v>0</v>
      </c>
    </row>
    <row r="146" spans="1:10">
      <c r="A146" s="8">
        <f t="shared" si="5"/>
        <v>145</v>
      </c>
      <c r="D146" s="6" t="str">
        <f>IF(NOT(ISNA(VLOOKUP(C146,RequestEmail[],2,FALSE))),VLOOKUP(C146,RequestEmail[],2,FALSE),"")</f>
        <v/>
      </c>
      <c r="G146" s="3"/>
      <c r="J146" s="3" t="b">
        <f t="shared" si="4"/>
        <v>0</v>
      </c>
    </row>
    <row r="147" spans="1:10">
      <c r="A147" s="8">
        <f t="shared" si="5"/>
        <v>146</v>
      </c>
      <c r="D147" s="6" t="str">
        <f>IF(NOT(ISNA(VLOOKUP(C147,RequestEmail[],2,FALSE))),VLOOKUP(C147,RequestEmail[],2,FALSE),"")</f>
        <v/>
      </c>
      <c r="G147" s="3"/>
      <c r="J147" s="3" t="b">
        <f t="shared" si="4"/>
        <v>0</v>
      </c>
    </row>
    <row r="148" spans="1:10">
      <c r="A148" s="8">
        <f t="shared" si="5"/>
        <v>147</v>
      </c>
      <c r="D148" s="6" t="str">
        <f>IF(NOT(ISNA(VLOOKUP(C148,RequestEmail[],2,FALSE))),VLOOKUP(C148,RequestEmail[],2,FALSE),"")</f>
        <v/>
      </c>
      <c r="G148" s="3"/>
      <c r="J148" s="3" t="b">
        <f t="shared" si="4"/>
        <v>0</v>
      </c>
    </row>
    <row r="149" spans="1:10">
      <c r="A149" s="8">
        <f t="shared" si="5"/>
        <v>148</v>
      </c>
      <c r="D149" s="6" t="str">
        <f>IF(NOT(ISNA(VLOOKUP(C149,RequestEmail[],2,FALSE))),VLOOKUP(C149,RequestEmail[],2,FALSE),"")</f>
        <v/>
      </c>
      <c r="G149" s="3"/>
      <c r="J149" s="3" t="b">
        <f t="shared" si="4"/>
        <v>0</v>
      </c>
    </row>
    <row r="150" spans="1:10">
      <c r="A150" s="8">
        <f t="shared" si="5"/>
        <v>149</v>
      </c>
      <c r="D150" s="6" t="str">
        <f>IF(NOT(ISNA(VLOOKUP(C150,RequestEmail[],2,FALSE))),VLOOKUP(C150,RequestEmail[],2,FALSE),"")</f>
        <v/>
      </c>
      <c r="G150" s="3"/>
      <c r="J150" s="3" t="b">
        <f t="shared" si="4"/>
        <v>0</v>
      </c>
    </row>
    <row r="151" spans="1:10">
      <c r="A151" s="8">
        <f t="shared" si="5"/>
        <v>150</v>
      </c>
      <c r="D151" s="6" t="str">
        <f>IF(NOT(ISNA(VLOOKUP(C151,RequestEmail[],2,FALSE))),VLOOKUP(C151,RequestEmail[],2,FALSE),"")</f>
        <v/>
      </c>
      <c r="G151" s="3"/>
      <c r="J151" s="3" t="b">
        <f t="shared" si="4"/>
        <v>0</v>
      </c>
    </row>
    <row r="152" spans="1:10">
      <c r="A152" s="8">
        <f t="shared" si="5"/>
        <v>151</v>
      </c>
      <c r="D152" s="6" t="str">
        <f>IF(NOT(ISNA(VLOOKUP(C152,RequestEmail[],2,FALSE))),VLOOKUP(C152,RequestEmail[],2,FALSE),"")</f>
        <v/>
      </c>
      <c r="G152" s="3"/>
      <c r="J152" s="3" t="b">
        <f t="shared" si="4"/>
        <v>0</v>
      </c>
    </row>
  </sheetData>
  <sheetProtection insertHyperlinks="0" selectLockedCells="1" sort="0"/>
  <conditionalFormatting sqref="A2:I152">
    <cfRule type="expression" dxfId="0" priority="1" stopIfTrue="1">
      <formula>$G2&lt;&gt;""</formula>
    </cfRule>
    <cfRule type="expression" dxfId="2" priority="3">
      <formula>$E2="high"</formula>
    </cfRule>
  </conditionalFormatting>
  <conditionalFormatting sqref="A3:I151">
    <cfRule type="expression" dxfId="1" priority="2">
      <formula>$E3="high"</formula>
    </cfRule>
  </conditionalFormatting>
  <pageMargins left="0.75" right="0.75" top="1" bottom="1" header="0.5" footer="0.5"/>
  <pageSetup orientation="portrait" horizontalDpi="4294967292" verticalDpi="4294967292"/>
  <ignoredErrors>
    <ignoredError sqref="D2:D152" emptyCellReference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Hold up!" error="You must select a page value. For changes not specific to any page, please select &quot;other&quot;">
          <x14:formula1>
            <xm:f>Sheet2!$A$2:$A$22</xm:f>
          </x14:formula1>
          <xm:sqref>B2:B1048576</xm:sqref>
        </x14:dataValidation>
        <x14:dataValidation type="list" allowBlank="1" showInputMessage="1" showErrorMessage="1" errorTitle="Oh noo..." error="Please select you name from the list. If your name does not appear, please email jennyvallon@yahoo-inc.com.">
          <x14:formula1>
            <xm:f>Sheet2!$C$2:$C$5</xm:f>
          </x14:formula1>
          <xm:sqref>C2:C1048576</xm:sqref>
        </x14:dataValidation>
        <x14:dataValidation type="list" allowBlank="1" showInputMessage="1" showErrorMessage="1">
          <x14:formula1>
            <xm:f>Sheet2!$F$2:$F$4</xm:f>
          </x14:formula1>
          <xm:sqref>E2:E1048576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22"/>
  <sheetViews>
    <sheetView showRuler="0" workbookViewId="0">
      <selection activeCell="F11" sqref="F11"/>
    </sheetView>
  </sheetViews>
  <sheetFormatPr baseColWidth="10" defaultRowHeight="15" x14ac:dyDescent="0"/>
  <cols>
    <col min="1" max="1" width="15.5" bestFit="1" customWidth="1"/>
    <col min="2" max="2" width="15.5" customWidth="1"/>
    <col min="3" max="3" width="15.1640625" customWidth="1"/>
    <col min="4" max="4" width="22" bestFit="1" customWidth="1"/>
    <col min="6" max="6" width="14.6640625" customWidth="1"/>
  </cols>
  <sheetData>
    <row r="1" spans="1:6" s="1" customFormat="1">
      <c r="A1" s="1" t="s">
        <v>0</v>
      </c>
      <c r="C1" s="1" t="s">
        <v>1</v>
      </c>
      <c r="D1" s="1" t="s">
        <v>31</v>
      </c>
      <c r="F1" s="1" t="s">
        <v>38</v>
      </c>
    </row>
    <row r="2" spans="1:6">
      <c r="A2" t="s">
        <v>6</v>
      </c>
      <c r="C2" t="s">
        <v>27</v>
      </c>
      <c r="D2" t="s">
        <v>32</v>
      </c>
      <c r="F2" t="s">
        <v>39</v>
      </c>
    </row>
    <row r="3" spans="1:6">
      <c r="A3" t="s">
        <v>7</v>
      </c>
      <c r="C3" t="s">
        <v>28</v>
      </c>
      <c r="D3" t="s">
        <v>33</v>
      </c>
      <c r="F3" t="s">
        <v>40</v>
      </c>
    </row>
    <row r="4" spans="1:6">
      <c r="A4" t="s">
        <v>8</v>
      </c>
      <c r="C4" t="s">
        <v>29</v>
      </c>
      <c r="D4" t="s">
        <v>34</v>
      </c>
      <c r="F4" t="s">
        <v>41</v>
      </c>
    </row>
    <row r="5" spans="1:6">
      <c r="A5" t="s">
        <v>9</v>
      </c>
      <c r="C5" t="s">
        <v>35</v>
      </c>
      <c r="D5" s="4" t="s">
        <v>36</v>
      </c>
    </row>
    <row r="6" spans="1:6">
      <c r="A6" t="s">
        <v>10</v>
      </c>
    </row>
    <row r="7" spans="1:6">
      <c r="A7" t="s">
        <v>11</v>
      </c>
    </row>
    <row r="8" spans="1:6">
      <c r="A8" t="s">
        <v>12</v>
      </c>
    </row>
    <row r="9" spans="1:6">
      <c r="A9" t="s">
        <v>13</v>
      </c>
    </row>
    <row r="10" spans="1:6">
      <c r="A10" t="s">
        <v>14</v>
      </c>
    </row>
    <row r="11" spans="1:6">
      <c r="A11" t="s">
        <v>15</v>
      </c>
    </row>
    <row r="12" spans="1:6">
      <c r="A12" t="s">
        <v>16</v>
      </c>
    </row>
    <row r="13" spans="1:6">
      <c r="A13" t="s">
        <v>17</v>
      </c>
    </row>
    <row r="14" spans="1:6">
      <c r="A14" t="s">
        <v>18</v>
      </c>
    </row>
    <row r="15" spans="1:6">
      <c r="A15" t="s">
        <v>19</v>
      </c>
    </row>
    <row r="16" spans="1:6">
      <c r="A16" t="s">
        <v>20</v>
      </c>
    </row>
    <row r="17" spans="1:1">
      <c r="A17" t="s">
        <v>21</v>
      </c>
    </row>
    <row r="18" spans="1:1">
      <c r="A18" t="s">
        <v>22</v>
      </c>
    </row>
    <row r="19" spans="1:1">
      <c r="A19" t="s">
        <v>23</v>
      </c>
    </row>
    <row r="20" spans="1:1">
      <c r="A20" t="s">
        <v>24</v>
      </c>
    </row>
    <row r="21" spans="1:1">
      <c r="A21" t="s">
        <v>25</v>
      </c>
    </row>
    <row r="22" spans="1:1">
      <c r="A22" t="s">
        <v>26</v>
      </c>
    </row>
  </sheetData>
  <hyperlinks>
    <hyperlink ref="D5" r:id="rId1"/>
  </hyperlinks>
  <pageMargins left="0.75" right="0.75" top="1" bottom="1" header="0.5" footer="0.5"/>
  <pageSetup orientation="portrait" horizontalDpi="4294967292" verticalDpi="4294967292"/>
  <tableParts count="2">
    <tablePart r:id="rId2"/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Yahoo,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Jenny Vallon</dc:creator>
  <cp:lastModifiedBy>Joseph King</cp:lastModifiedBy>
  <dcterms:created xsi:type="dcterms:W3CDTF">2016-01-11T15:20:14Z</dcterms:created>
  <dcterms:modified xsi:type="dcterms:W3CDTF">2016-01-11T23:44:07Z</dcterms:modified>
</cp:coreProperties>
</file>